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CCT\COMM2\MONTHLY REPORTS 2025\DIRECT\SHIRLEY\VOSS\"/>
    </mc:Choice>
  </mc:AlternateContent>
  <xr:revisionPtr revIDLastSave="0" documentId="13_ncr:1_{22EC0EDB-B95B-4294-91C0-85E1627D2A05}" xr6:coauthVersionLast="47" xr6:coauthVersionMax="47" xr10:uidLastSave="{00000000-0000-0000-0000-000000000000}"/>
  <bookViews>
    <workbookView xWindow="12465" yWindow="-16260" windowWidth="28920" windowHeight="15600" xr2:uid="{357551F3-8B0A-4D19-94C6-B3F27A32FA18}"/>
  </bookViews>
  <sheets>
    <sheet name="ZANALYSIS_PATTERN (8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" i="1" l="1"/>
  <c r="Q28" i="1"/>
  <c r="P28" i="1"/>
  <c r="O28" i="1"/>
  <c r="N28" i="1"/>
  <c r="M28" i="1"/>
  <c r="L28" i="1"/>
  <c r="K28" i="1"/>
  <c r="J28" i="1"/>
  <c r="I28" i="1"/>
  <c r="H28" i="1"/>
  <c r="G28" i="1"/>
  <c r="F28" i="1"/>
</calcChain>
</file>

<file path=xl/sharedStrings.xml><?xml version="1.0" encoding="utf-8"?>
<sst xmlns="http://schemas.openxmlformats.org/spreadsheetml/2006/main" count="161" uniqueCount="65">
  <si>
    <t>Daily sales</t>
  </si>
  <si>
    <t>Calendar year</t>
  </si>
  <si>
    <t>2025</t>
  </si>
  <si>
    <t>Calendar month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</si>
  <si>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</si>
  <si>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</si>
  <si>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</si>
  <si>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</si>
  <si>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</si>
  <si>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</si>
  <si>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</si>
  <si>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</si>
  <si>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</si>
  <si>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</si>
  <si>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</si>
  <si>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</si>
  <si>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Result</t>
  </si>
  <si>
    <t>Sales</t>
  </si>
  <si>
    <t>Sales representative</t>
  </si>
  <si>
    <t>Customer group 2</t>
  </si>
  <si>
    <t>Sold-to party</t>
  </si>
  <si>
    <t>$</t>
  </si>
  <si>
    <t>Voss, Nicholas</t>
  </si>
  <si>
    <t>Direct Commission</t>
  </si>
  <si>
    <t>500363</t>
  </si>
  <si>
    <t>APEX INSTRUMENTS, INC</t>
  </si>
  <si>
    <t>500384</t>
  </si>
  <si>
    <t>SCHINDLER ELEVATOR</t>
  </si>
  <si>
    <t>503254</t>
  </si>
  <si>
    <t>OSSID CORPORATION</t>
  </si>
  <si>
    <t>503829</t>
  </si>
  <si>
    <t>LUMEN FOCUS LLC</t>
  </si>
  <si>
    <t>503916</t>
  </si>
  <si>
    <t>AXON CORPORATION</t>
  </si>
  <si>
    <t>504913</t>
  </si>
  <si>
    <t>CAPTIVE AIRE SYSTEMS, INC</t>
  </si>
  <si>
    <t>507038</t>
  </si>
  <si>
    <t>DRAKA ELEV/SCHINDLER</t>
  </si>
  <si>
    <t>511142</t>
  </si>
  <si>
    <t>INIT INNOVATIONS IN</t>
  </si>
  <si>
    <t>514035</t>
  </si>
  <si>
    <t>ZOETIS LLC</t>
  </si>
  <si>
    <t>515998</t>
  </si>
  <si>
    <t>MAVERICK/SCHINDLER</t>
  </si>
  <si>
    <t>520172</t>
  </si>
  <si>
    <t>DRAKA ELEVATOR PRODUCTS, INC</t>
  </si>
  <si>
    <t>521730</t>
  </si>
  <si>
    <t>BRIDGESTONE FIRESTONE</t>
  </si>
  <si>
    <t>524592</t>
  </si>
  <si>
    <t>HILL PHOENIX</t>
  </si>
  <si>
    <t>524820</t>
  </si>
  <si>
    <t>T3 AUTOMATION, INC</t>
  </si>
  <si>
    <t>530609</t>
  </si>
  <si>
    <t>HUBBELL INC</t>
  </si>
  <si>
    <t>531092</t>
  </si>
  <si>
    <t>CAPTIVE-AIRE SYSTEMS, INC</t>
  </si>
  <si>
    <t>531566</t>
  </si>
  <si>
    <t>NEW ENERGY</t>
  </si>
  <si>
    <t>120157686</t>
  </si>
  <si>
    <t>MUNICIPAL CONTROLS, INC</t>
  </si>
  <si>
    <t>120202340</t>
  </si>
  <si>
    <t>SIEMENS ENERGY</t>
  </si>
  <si>
    <t>509343</t>
  </si>
  <si>
    <t>CAPTIVE-AIRE SYSTEMS, INC - SPLIT -HIT</t>
  </si>
  <si>
    <t>515692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</si>
</sst>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#,##0.00;@"/>
  </numFmts>
  <fonts count="2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8"/>
      <color rgb="FF000000"/>
      <name val="Arial"/>
      <family val="2"/>
    </font>
    <font>
      <sz val="10"/>
      <color theme="1"/>
      <name val="Arial Unicode MS"/>
    </font>
    <font>
      <sz val="8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FFF843"/>
        <bgColor indexed="64"/>
      </patternFill>
    </fill>
    <fill>
      <patternFill patternType="solid">
        <fgColor rgb="FFE9EEF4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/>
      <diagonal/>
    </border>
    <border>
      <left/>
      <right/>
      <top style="medium">
        <color rgb="FFAEAEAE"/>
      </top>
      <bottom/>
      <diagonal/>
    </border>
    <border>
      <left/>
      <right style="medium">
        <color rgb="FFAEAEAE"/>
      </right>
      <top style="medium">
        <color rgb="FFAEAEAE"/>
      </top>
      <bottom/>
      <diagonal/>
    </border>
    <border>
      <left style="medium">
        <color rgb="FFAEAEAE"/>
      </left>
      <right/>
      <top/>
      <bottom/>
      <diagonal/>
    </border>
    <border>
      <left/>
      <right style="medium">
        <color rgb="FFAEAEAE"/>
      </right>
      <top/>
      <bottom/>
      <diagonal/>
    </border>
    <border>
      <left style="medium">
        <color rgb="FFAEAEAE"/>
      </left>
      <right/>
      <top/>
      <bottom style="medium">
        <color rgb="FFAEAEAE"/>
      </bottom>
      <diagonal/>
    </border>
    <border>
      <left/>
      <right/>
      <top/>
      <bottom style="medium">
        <color rgb="FFAEAEAE"/>
      </bottom>
      <diagonal/>
    </border>
    <border>
      <left/>
      <right style="medium">
        <color rgb="FFAEAEAE"/>
      </right>
      <top/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 style="medium">
        <color rgb="FFAEAEAE"/>
      </bottom>
      <diagonal/>
    </border>
    <border>
      <left/>
      <right style="medium">
        <color rgb="FFAEAEAE"/>
      </right>
      <top style="medium">
        <color rgb="FFAEAEAE"/>
      </top>
      <bottom style="medium">
        <color rgb="FFAEAEA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49" fontId="18" fillId="33" borderId="0" xfId="0" applyNumberFormat="1" applyFont="1" applyFill="1" applyAlignment="1">
      <alignment wrapText="1"/>
    </xf>
    <xf numFmtId="0" fontId="19" fillId="0" borderId="0" xfId="0" applyFont="1" applyAlignment="1">
      <alignment wrapText="1"/>
    </xf>
    <xf numFmtId="49" fontId="0" fillId="34" borderId="10" xfId="0" applyNumberFormat="1" applyFill="1" applyBorder="1" applyAlignment="1">
      <alignment horizontal="right" vertical="center" wrapText="1"/>
    </xf>
    <xf numFmtId="49" fontId="20" fillId="34" borderId="10" xfId="0" applyNumberFormat="1" applyFont="1" applyFill="1" applyBorder="1" applyAlignment="1">
      <alignment horizontal="right" vertical="center" wrapText="1"/>
    </xf>
    <xf numFmtId="49" fontId="20" fillId="34" borderId="10" xfId="0" applyNumberFormat="1" applyFont="1" applyFill="1" applyBorder="1" applyAlignment="1">
      <alignment horizontal="left" vertical="center" wrapText="1"/>
    </xf>
    <xf numFmtId="49" fontId="20" fillId="35" borderId="10" xfId="0" applyNumberFormat="1" applyFont="1" applyFill="1" applyBorder="1" applyAlignment="1">
      <alignment horizontal="left" vertical="center" wrapText="1"/>
    </xf>
    <xf numFmtId="49" fontId="20" fillId="35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right" vertical="center" wrapText="1"/>
    </xf>
    <xf numFmtId="164" fontId="20" fillId="33" borderId="10" xfId="0" applyNumberFormat="1" applyFont="1" applyFill="1" applyBorder="1" applyAlignment="1">
      <alignment horizontal="right" vertical="center" wrapText="1"/>
    </xf>
    <xf numFmtId="164" fontId="20" fillId="35" borderId="10" xfId="0" applyNumberFormat="1" applyFont="1" applyFill="1" applyBorder="1" applyAlignment="1">
      <alignment horizontal="right" vertical="center" wrapText="1"/>
    </xf>
    <xf numFmtId="164" fontId="20" fillId="36" borderId="10" xfId="0" applyNumberFormat="1" applyFont="1" applyFill="1" applyBorder="1" applyAlignment="1">
      <alignment horizontal="right" vertical="center" wrapText="1"/>
    </xf>
    <xf numFmtId="0" fontId="20" fillId="36" borderId="10" xfId="0" applyFont="1" applyFill="1" applyBorder="1" applyAlignment="1">
      <alignment horizontal="right" vertical="center" wrapText="1"/>
    </xf>
    <xf numFmtId="49" fontId="20" fillId="34" borderId="19" xfId="0" applyNumberFormat="1" applyFont="1" applyFill="1" applyBorder="1" applyAlignment="1">
      <alignment horizontal="left" vertical="center" wrapText="1"/>
    </xf>
    <xf numFmtId="49" fontId="0" fillId="34" borderId="11" xfId="0" applyNumberFormat="1" applyFill="1" applyBorder="1" applyAlignment="1">
      <alignment horizontal="left" vertical="center" wrapText="1"/>
    </xf>
    <xf numFmtId="49" fontId="0" fillId="34" borderId="12" xfId="0" applyNumberFormat="1" applyFill="1" applyBorder="1" applyAlignment="1">
      <alignment horizontal="left" vertical="center" wrapText="1"/>
    </xf>
    <xf numFmtId="49" fontId="0" fillId="34" borderId="13" xfId="0" applyNumberFormat="1" applyFill="1" applyBorder="1" applyAlignment="1">
      <alignment horizontal="left" vertical="center" wrapText="1"/>
    </xf>
    <xf numFmtId="49" fontId="0" fillId="34" borderId="14" xfId="0" applyNumberFormat="1" applyFill="1" applyBorder="1" applyAlignment="1">
      <alignment horizontal="left" vertical="center" wrapText="1"/>
    </xf>
    <xf numFmtId="49" fontId="0" fillId="34" borderId="0" xfId="0" applyNumberFormat="1" applyFill="1" applyBorder="1" applyAlignment="1">
      <alignment horizontal="left" vertical="center" wrapText="1"/>
    </xf>
    <xf numFmtId="49" fontId="0" fillId="34" borderId="15" xfId="0" applyNumberFormat="1" applyFill="1" applyBorder="1" applyAlignment="1">
      <alignment horizontal="left" vertical="center" wrapText="1"/>
    </xf>
    <xf numFmtId="49" fontId="0" fillId="34" borderId="16" xfId="0" applyNumberFormat="1" applyFill="1" applyBorder="1" applyAlignment="1">
      <alignment horizontal="left" vertical="center" wrapText="1"/>
    </xf>
    <xf numFmtId="49" fontId="0" fillId="34" borderId="17" xfId="0" applyNumberFormat="1" applyFill="1" applyBorder="1" applyAlignment="1">
      <alignment horizontal="left" vertical="center" wrapText="1"/>
    </xf>
    <xf numFmtId="49" fontId="0" fillId="34" borderId="18" xfId="0" applyNumberFormat="1" applyFill="1" applyBorder="1" applyAlignment="1">
      <alignment horizontal="left" vertical="center" wrapText="1"/>
    </xf>
    <xf numFmtId="49" fontId="20" fillId="34" borderId="19" xfId="0" applyNumberFormat="1" applyFont="1" applyFill="1" applyBorder="1" applyAlignment="1">
      <alignment horizontal="left" vertical="center" wrapText="1"/>
    </xf>
    <xf numFmtId="49" fontId="20" fillId="34" borderId="20" xfId="0" applyNumberFormat="1" applyFont="1" applyFill="1" applyBorder="1" applyAlignment="1">
      <alignment horizontal="left" vertical="center" wrapText="1"/>
    </xf>
    <xf numFmtId="49" fontId="20" fillId="35" borderId="19" xfId="0" applyNumberFormat="1" applyFont="1" applyFill="1" applyBorder="1" applyAlignment="1">
      <alignment horizontal="left" vertical="center" wrapText="1"/>
    </xf>
    <xf numFmtId="49" fontId="20" fillId="35" borderId="20" xfId="0" applyNumberFormat="1" applyFont="1" applyFill="1" applyBorder="1" applyAlignment="1">
      <alignment horizontal="left" vertical="center" wrapText="1"/>
    </xf>
    <xf numFmtId="49" fontId="20" fillId="34" borderId="20" xfId="0" applyNumberFormat="1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97B1-4017-479A-ACAC-E2750C1504D5}">
  <dimension ref="A1:R28"/>
  <sheetViews>
    <sheetView showGridLines="0" tabSelected="1" workbookViewId="0">
      <selection activeCell="F28" sqref="F28:P28"/>
    </sheetView>
  </sheetViews>
  <sheetFormatPr defaultRowHeight="14.25"/>
  <cols>
    <col min="1" max="1" width="13.5" bestFit="1" customWidth="1"/>
    <col min="2" max="2" width="1.625" bestFit="1" customWidth="1"/>
    <col min="3" max="3" width="11.875" bestFit="1" customWidth="1"/>
    <col min="4" max="4" width="8.625" bestFit="1" customWidth="1"/>
    <col min="5" max="5" width="23.125" bestFit="1" customWidth="1"/>
    <col min="6" max="17" width="7.625" bestFit="1" customWidth="1"/>
    <col min="18" max="18" width="8.75" bestFit="1" customWidth="1"/>
  </cols>
  <sheetData>
    <row r="1" spans="1:18">
      <c r="A1" s="1" t="s">
        <v>0</v>
      </c>
    </row>
    <row r="2" spans="1:18" ht="15" thickBot="1">
      <c r="A2" s="2"/>
    </row>
    <row r="3" spans="1:18" ht="15" thickBot="1">
      <c r="A3" s="14"/>
      <c r="B3" s="15"/>
      <c r="C3" s="15"/>
      <c r="D3" s="16"/>
      <c r="E3" s="4" t="s">
        <v>1</v>
      </c>
      <c r="F3" s="5" t="s">
        <v>2</v>
      </c>
      <c r="G3" s="5" t="s">
        <v>2</v>
      </c>
      <c r="H3" s="5" t="s">
        <v>2</v>
      </c>
      <c r="I3" s="5" t="s">
        <v>2</v>
      </c>
      <c r="J3" s="5" t="s">
        <v>2</v>
      </c>
      <c r="K3" s="5" t="s">
        <v>2</v>
      </c>
      <c r="L3" s="5" t="s">
        <v>2</v>
      </c>
      <c r="M3" s="5" t="s">
        <v>2</v>
      </c>
      <c r="N3" s="5" t="s">
        <v>2</v>
      </c>
      <c r="O3" s="5" t="s">
        <v>2</v>
      </c>
      <c r="P3" s="5" t="s">
        <v>2</v>
      </c>
      <c r="Q3" s="5" t="s">
        <v>2</v>
      </c>
      <c r="R3" s="5" t="s">
        <v>2</v>
      </c>
    </row>
    <row r="4" spans="1:18" ht="15" thickBot="1">
      <c r="A4" s="17"/>
      <c r="B4" s="18"/>
      <c r="C4" s="18"/>
      <c r="D4" s="19"/>
      <c r="E4" s="4" t="s">
        <v>3</v>
      </c>
      <c r="F4" s="5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5" t="s">
        <v>12</v>
      </c>
      <c r="O4" s="5" t="s">
        <v>13</v>
      </c>
      <c r="P4" s="5" t="s">
        <v>14</v>
      </c>
      <c r="Q4" s="5" t="s">
        <v>15</v>
      </c>
      <c r="R4" s="6" t="s">
        <v>16</v>
      </c>
    </row>
    <row r="5" spans="1:18" ht="15" thickBot="1">
      <c r="A5" s="20"/>
      <c r="B5" s="21"/>
      <c r="C5" s="21"/>
      <c r="D5" s="22"/>
      <c r="E5" s="4"/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  <c r="N5" s="5" t="s">
        <v>17</v>
      </c>
      <c r="O5" s="5" t="s">
        <v>17</v>
      </c>
      <c r="P5" s="5" t="s">
        <v>17</v>
      </c>
      <c r="Q5" s="5" t="s">
        <v>17</v>
      </c>
      <c r="R5" s="6" t="s">
        <v>17</v>
      </c>
    </row>
    <row r="6" spans="1:18" ht="15" thickBot="1">
      <c r="A6" s="5" t="s">
        <v>18</v>
      </c>
      <c r="B6" s="23" t="s">
        <v>19</v>
      </c>
      <c r="C6" s="24"/>
      <c r="D6" s="5" t="s">
        <v>20</v>
      </c>
      <c r="E6" s="3"/>
      <c r="F6" s="4" t="s">
        <v>21</v>
      </c>
      <c r="G6" s="4" t="s">
        <v>21</v>
      </c>
      <c r="H6" s="4" t="s">
        <v>21</v>
      </c>
      <c r="I6" s="4" t="s">
        <v>21</v>
      </c>
      <c r="J6" s="4" t="s">
        <v>21</v>
      </c>
      <c r="K6" s="4" t="s">
        <v>21</v>
      </c>
      <c r="L6" s="4" t="s">
        <v>21</v>
      </c>
      <c r="M6" s="4" t="s">
        <v>21</v>
      </c>
      <c r="N6" s="4" t="s">
        <v>21</v>
      </c>
      <c r="O6" s="4" t="s">
        <v>21</v>
      </c>
      <c r="P6" s="4" t="s">
        <v>21</v>
      </c>
      <c r="Q6" s="4" t="s">
        <v>21</v>
      </c>
      <c r="R6" s="7" t="s">
        <v>21</v>
      </c>
    </row>
    <row r="7" spans="1:18" ht="15" thickBot="1">
      <c r="A7" s="5" t="s">
        <v>22</v>
      </c>
      <c r="B7" s="5" t="s">
        <v>6</v>
      </c>
      <c r="C7" s="5" t="s">
        <v>23</v>
      </c>
      <c r="D7" s="5" t="s">
        <v>24</v>
      </c>
      <c r="E7" s="5" t="s">
        <v>25</v>
      </c>
      <c r="F7" s="8"/>
      <c r="G7" s="9">
        <v>151.6</v>
      </c>
      <c r="H7" s="8"/>
      <c r="I7" s="8"/>
      <c r="J7" s="8"/>
      <c r="K7" s="8"/>
      <c r="L7" s="8"/>
      <c r="M7" s="8"/>
      <c r="N7" s="8"/>
      <c r="O7" s="8"/>
      <c r="P7" s="8"/>
      <c r="Q7" s="8"/>
      <c r="R7" s="10">
        <v>151.6</v>
      </c>
    </row>
    <row r="8" spans="1:18" ht="15" thickBot="1">
      <c r="A8" s="5" t="s">
        <v>22</v>
      </c>
      <c r="B8" s="5" t="s">
        <v>6</v>
      </c>
      <c r="C8" s="5" t="s">
        <v>23</v>
      </c>
      <c r="D8" s="5" t="s">
        <v>26</v>
      </c>
      <c r="E8" s="5" t="s">
        <v>27</v>
      </c>
      <c r="F8" s="11">
        <v>27230.31</v>
      </c>
      <c r="G8" s="11">
        <v>10960.15</v>
      </c>
      <c r="H8" s="11">
        <v>18871.419999999998</v>
      </c>
      <c r="I8" s="11">
        <v>26823.35</v>
      </c>
      <c r="J8" s="11">
        <v>15678.45</v>
      </c>
      <c r="K8" s="11">
        <v>395.65</v>
      </c>
      <c r="L8" s="11">
        <v>18569.400000000001</v>
      </c>
      <c r="M8" s="11">
        <v>11909.47</v>
      </c>
      <c r="N8" s="11">
        <v>5013.3500000000004</v>
      </c>
      <c r="O8" s="11">
        <v>36439.94</v>
      </c>
      <c r="P8" s="11">
        <v>60353.78</v>
      </c>
      <c r="Q8" s="11">
        <v>3646.7</v>
      </c>
      <c r="R8" s="10">
        <v>235891.97</v>
      </c>
    </row>
    <row r="9" spans="1:18" ht="15" thickBot="1">
      <c r="A9" s="5" t="s">
        <v>22</v>
      </c>
      <c r="B9" s="5" t="s">
        <v>6</v>
      </c>
      <c r="C9" s="5" t="s">
        <v>23</v>
      </c>
      <c r="D9" s="5" t="s">
        <v>28</v>
      </c>
      <c r="E9" s="5" t="s">
        <v>29</v>
      </c>
      <c r="F9" s="9">
        <v>2076.88</v>
      </c>
      <c r="G9" s="9">
        <v>20344.93</v>
      </c>
      <c r="H9" s="9">
        <v>4923.18</v>
      </c>
      <c r="I9" s="9">
        <v>1861.96</v>
      </c>
      <c r="J9" s="9">
        <v>3492.07</v>
      </c>
      <c r="K9" s="9">
        <v>1682.12</v>
      </c>
      <c r="L9" s="9">
        <v>1344.19</v>
      </c>
      <c r="M9" s="9">
        <v>135.30000000000001</v>
      </c>
      <c r="N9" s="9">
        <v>4100.49</v>
      </c>
      <c r="O9" s="9">
        <v>2329.33</v>
      </c>
      <c r="P9" s="9">
        <v>3513.7</v>
      </c>
      <c r="Q9" s="9">
        <v>769.73</v>
      </c>
      <c r="R9" s="10">
        <v>46573.88</v>
      </c>
    </row>
    <row r="10" spans="1:18" ht="15" thickBot="1">
      <c r="A10" s="5" t="s">
        <v>22</v>
      </c>
      <c r="B10" s="5" t="s">
        <v>6</v>
      </c>
      <c r="C10" s="5" t="s">
        <v>23</v>
      </c>
      <c r="D10" s="5" t="s">
        <v>30</v>
      </c>
      <c r="E10" s="5" t="s">
        <v>31</v>
      </c>
      <c r="F10" s="11">
        <v>2079.75</v>
      </c>
      <c r="G10" s="11">
        <v>420.7</v>
      </c>
      <c r="H10" s="11">
        <v>1013.4</v>
      </c>
      <c r="I10" s="11">
        <v>1168.1500000000001</v>
      </c>
      <c r="J10" s="11">
        <v>2910</v>
      </c>
      <c r="K10" s="11">
        <v>1871.75</v>
      </c>
      <c r="L10" s="11">
        <v>124.3</v>
      </c>
      <c r="M10" s="11">
        <v>1730.1</v>
      </c>
      <c r="N10" s="11">
        <v>195.24</v>
      </c>
      <c r="O10" s="11">
        <v>1204.25</v>
      </c>
      <c r="P10" s="11">
        <v>1590.75</v>
      </c>
      <c r="Q10" s="12"/>
      <c r="R10" s="10">
        <v>14308.39</v>
      </c>
    </row>
    <row r="11" spans="1:18" ht="15" thickBot="1">
      <c r="A11" s="5" t="s">
        <v>22</v>
      </c>
      <c r="B11" s="5" t="s">
        <v>6</v>
      </c>
      <c r="C11" s="5" t="s">
        <v>23</v>
      </c>
      <c r="D11" s="5" t="s">
        <v>32</v>
      </c>
      <c r="E11" s="5" t="s">
        <v>33</v>
      </c>
      <c r="F11" s="9">
        <v>596.30999999999995</v>
      </c>
      <c r="G11" s="9">
        <v>256.86</v>
      </c>
      <c r="H11" s="9">
        <v>138.77000000000001</v>
      </c>
      <c r="I11" s="9">
        <v>1317.56</v>
      </c>
      <c r="J11" s="9">
        <v>300.33</v>
      </c>
      <c r="K11" s="9">
        <v>1273.1099999999999</v>
      </c>
      <c r="L11" s="9">
        <v>209.16</v>
      </c>
      <c r="M11" s="9">
        <v>679.61</v>
      </c>
      <c r="N11" s="9">
        <v>679.94</v>
      </c>
      <c r="O11" s="9">
        <v>1207.25</v>
      </c>
      <c r="P11" s="9">
        <v>555.63</v>
      </c>
      <c r="Q11" s="9">
        <v>377.97</v>
      </c>
      <c r="R11" s="10">
        <v>7592.5</v>
      </c>
    </row>
    <row r="12" spans="1:18" ht="15" thickBot="1">
      <c r="A12" s="5" t="s">
        <v>22</v>
      </c>
      <c r="B12" s="5" t="s">
        <v>6</v>
      </c>
      <c r="C12" s="5" t="s">
        <v>23</v>
      </c>
      <c r="D12" s="5" t="s">
        <v>34</v>
      </c>
      <c r="E12" s="5" t="s">
        <v>35</v>
      </c>
      <c r="F12" s="11">
        <v>4284.8</v>
      </c>
      <c r="G12" s="11">
        <v>8569.6</v>
      </c>
      <c r="H12" s="11">
        <v>12046.88</v>
      </c>
      <c r="I12" s="11">
        <v>2921.08</v>
      </c>
      <c r="J12" s="11">
        <v>2142.4</v>
      </c>
      <c r="K12" s="12"/>
      <c r="L12" s="11">
        <v>34589.760000000002</v>
      </c>
      <c r="M12" s="11">
        <v>15557.69</v>
      </c>
      <c r="N12" s="11">
        <v>4473.5600000000004</v>
      </c>
      <c r="O12" s="11">
        <v>11612.96</v>
      </c>
      <c r="P12" s="11">
        <v>13973.02</v>
      </c>
      <c r="Q12" s="12"/>
      <c r="R12" s="10">
        <v>110171.75</v>
      </c>
    </row>
    <row r="13" spans="1:18" ht="15" thickBot="1">
      <c r="A13" s="5" t="s">
        <v>22</v>
      </c>
      <c r="B13" s="5" t="s">
        <v>6</v>
      </c>
      <c r="C13" s="5" t="s">
        <v>23</v>
      </c>
      <c r="D13" s="5" t="s">
        <v>36</v>
      </c>
      <c r="E13" s="5" t="s">
        <v>37</v>
      </c>
      <c r="F13" s="9">
        <v>882.02</v>
      </c>
      <c r="G13" s="9">
        <v>1066.21</v>
      </c>
      <c r="H13" s="9">
        <v>1585.06</v>
      </c>
      <c r="I13" s="9">
        <v>1499.97</v>
      </c>
      <c r="J13" s="9">
        <v>955.93</v>
      </c>
      <c r="K13" s="9">
        <v>756.19</v>
      </c>
      <c r="L13" s="9">
        <v>887.03</v>
      </c>
      <c r="M13" s="9">
        <v>1802.71</v>
      </c>
      <c r="N13" s="9">
        <v>608.62</v>
      </c>
      <c r="O13" s="9">
        <v>1289.8800000000001</v>
      </c>
      <c r="P13" s="9">
        <v>709.45</v>
      </c>
      <c r="Q13" s="9">
        <v>1042.71</v>
      </c>
      <c r="R13" s="10">
        <v>13085.78</v>
      </c>
    </row>
    <row r="14" spans="1:18" ht="15" thickBot="1">
      <c r="A14" s="5" t="s">
        <v>22</v>
      </c>
      <c r="B14" s="5" t="s">
        <v>6</v>
      </c>
      <c r="C14" s="5" t="s">
        <v>23</v>
      </c>
      <c r="D14" s="5" t="s">
        <v>38</v>
      </c>
      <c r="E14" s="5" t="s">
        <v>39</v>
      </c>
      <c r="F14" s="11">
        <v>12179.28</v>
      </c>
      <c r="G14" s="11">
        <v>22085.96</v>
      </c>
      <c r="H14" s="11">
        <v>8969.84</v>
      </c>
      <c r="I14" s="11">
        <v>22147.02</v>
      </c>
      <c r="J14" s="11">
        <v>58655.040000000001</v>
      </c>
      <c r="K14" s="11">
        <v>8134.42</v>
      </c>
      <c r="L14" s="11">
        <v>3365.5</v>
      </c>
      <c r="M14" s="11">
        <v>10015.879999999999</v>
      </c>
      <c r="N14" s="11">
        <v>8152.04</v>
      </c>
      <c r="O14" s="11">
        <v>25209.97</v>
      </c>
      <c r="P14" s="11">
        <v>818.12</v>
      </c>
      <c r="Q14" s="11">
        <v>-2440.21</v>
      </c>
      <c r="R14" s="10">
        <v>177292.86</v>
      </c>
    </row>
    <row r="15" spans="1:18" ht="15" thickBot="1">
      <c r="A15" s="5" t="s">
        <v>22</v>
      </c>
      <c r="B15" s="5" t="s">
        <v>6</v>
      </c>
      <c r="C15" s="5" t="s">
        <v>23</v>
      </c>
      <c r="D15" s="5" t="s">
        <v>40</v>
      </c>
      <c r="E15" s="5" t="s">
        <v>41</v>
      </c>
      <c r="F15" s="9">
        <v>86489.45</v>
      </c>
      <c r="G15" s="9">
        <v>8382.7000000000007</v>
      </c>
      <c r="H15" s="9">
        <v>77180.52</v>
      </c>
      <c r="I15" s="9">
        <v>104880.96000000001</v>
      </c>
      <c r="J15" s="9">
        <v>3982.86</v>
      </c>
      <c r="K15" s="9">
        <v>68222.759999999995</v>
      </c>
      <c r="L15" s="9">
        <v>6931.25</v>
      </c>
      <c r="M15" s="9">
        <v>48.13</v>
      </c>
      <c r="N15" s="9">
        <v>40246.199999999997</v>
      </c>
      <c r="O15" s="9">
        <v>13267.8</v>
      </c>
      <c r="P15" s="9">
        <v>40230.26</v>
      </c>
      <c r="Q15" s="9">
        <v>71300.06</v>
      </c>
      <c r="R15" s="10">
        <v>521162.95</v>
      </c>
    </row>
    <row r="16" spans="1:18" ht="15" thickBot="1">
      <c r="A16" s="5" t="s">
        <v>22</v>
      </c>
      <c r="B16" s="5" t="s">
        <v>6</v>
      </c>
      <c r="C16" s="5" t="s">
        <v>23</v>
      </c>
      <c r="D16" s="5" t="s">
        <v>42</v>
      </c>
      <c r="E16" s="5" t="s">
        <v>43</v>
      </c>
      <c r="F16" s="12"/>
      <c r="G16" s="11">
        <v>193.98</v>
      </c>
      <c r="H16" s="12"/>
      <c r="I16" s="12"/>
      <c r="J16" s="11">
        <v>1228.3699999999999</v>
      </c>
      <c r="K16" s="12"/>
      <c r="L16" s="11">
        <v>157.13</v>
      </c>
      <c r="M16" s="12"/>
      <c r="N16" s="12"/>
      <c r="O16" s="12"/>
      <c r="P16" s="12"/>
      <c r="Q16" s="12"/>
      <c r="R16" s="10">
        <v>1579.48</v>
      </c>
    </row>
    <row r="17" spans="1:18" ht="15" thickBot="1">
      <c r="A17" s="5" t="s">
        <v>22</v>
      </c>
      <c r="B17" s="5" t="s">
        <v>6</v>
      </c>
      <c r="C17" s="5" t="s">
        <v>23</v>
      </c>
      <c r="D17" s="5" t="s">
        <v>44</v>
      </c>
      <c r="E17" s="5" t="s">
        <v>45</v>
      </c>
      <c r="F17" s="8"/>
      <c r="G17" s="9">
        <v>3165.45</v>
      </c>
      <c r="H17" s="9">
        <v>-171.6</v>
      </c>
      <c r="I17" s="9">
        <v>9.41</v>
      </c>
      <c r="J17" s="8"/>
      <c r="K17" s="8"/>
      <c r="L17" s="8"/>
      <c r="M17" s="9">
        <v>57.2</v>
      </c>
      <c r="N17" s="9">
        <v>52.8</v>
      </c>
      <c r="O17" s="9">
        <v>54.96</v>
      </c>
      <c r="P17" s="8"/>
      <c r="Q17" s="8"/>
      <c r="R17" s="10">
        <v>3168.22</v>
      </c>
    </row>
    <row r="18" spans="1:18" ht="15" thickBot="1">
      <c r="A18" s="5" t="s">
        <v>22</v>
      </c>
      <c r="B18" s="5" t="s">
        <v>6</v>
      </c>
      <c r="C18" s="5" t="s">
        <v>23</v>
      </c>
      <c r="D18" s="5" t="s">
        <v>46</v>
      </c>
      <c r="E18" s="5" t="s">
        <v>47</v>
      </c>
      <c r="F18" s="11">
        <v>996.35</v>
      </c>
      <c r="G18" s="12"/>
      <c r="H18" s="11">
        <v>306.61</v>
      </c>
      <c r="I18" s="11">
        <v>364.48</v>
      </c>
      <c r="J18" s="11">
        <v>474.24</v>
      </c>
      <c r="K18" s="11">
        <v>631.04</v>
      </c>
      <c r="L18" s="11">
        <v>2587.58</v>
      </c>
      <c r="M18" s="11">
        <v>1174.1600000000001</v>
      </c>
      <c r="N18" s="11">
        <v>1862.42</v>
      </c>
      <c r="O18" s="11">
        <v>3374.84</v>
      </c>
      <c r="P18" s="11">
        <v>244.8</v>
      </c>
      <c r="Q18" s="11">
        <v>311.89999999999998</v>
      </c>
      <c r="R18" s="10">
        <v>12328.42</v>
      </c>
    </row>
    <row r="19" spans="1:18" ht="15" thickBot="1">
      <c r="A19" s="5" t="s">
        <v>22</v>
      </c>
      <c r="B19" s="5" t="s">
        <v>6</v>
      </c>
      <c r="C19" s="5" t="s">
        <v>23</v>
      </c>
      <c r="D19" s="5" t="s">
        <v>48</v>
      </c>
      <c r="E19" s="5" t="s">
        <v>49</v>
      </c>
      <c r="F19" s="9">
        <v>22165.81</v>
      </c>
      <c r="G19" s="9">
        <v>22599</v>
      </c>
      <c r="H19" s="9">
        <v>17001.48</v>
      </c>
      <c r="I19" s="9">
        <v>43860.06</v>
      </c>
      <c r="J19" s="9">
        <v>36507.65</v>
      </c>
      <c r="K19" s="9">
        <v>63680.85</v>
      </c>
      <c r="L19" s="9">
        <v>60748.58</v>
      </c>
      <c r="M19" s="9">
        <v>19430.080000000002</v>
      </c>
      <c r="N19" s="9">
        <v>19672.900000000001</v>
      </c>
      <c r="O19" s="9">
        <v>39846.639999999999</v>
      </c>
      <c r="P19" s="9">
        <v>126936.48</v>
      </c>
      <c r="Q19" s="9">
        <v>58108.480000000003</v>
      </c>
      <c r="R19" s="10">
        <v>530558.01</v>
      </c>
    </row>
    <row r="20" spans="1:18" ht="15" thickBot="1">
      <c r="A20" s="5" t="s">
        <v>22</v>
      </c>
      <c r="B20" s="5" t="s">
        <v>6</v>
      </c>
      <c r="C20" s="5" t="s">
        <v>23</v>
      </c>
      <c r="D20" s="5" t="s">
        <v>50</v>
      </c>
      <c r="E20" s="5" t="s">
        <v>51</v>
      </c>
      <c r="F20" s="11">
        <v>979.58</v>
      </c>
      <c r="G20" s="11">
        <v>3154.84</v>
      </c>
      <c r="H20" s="11">
        <v>8081.58</v>
      </c>
      <c r="I20" s="12"/>
      <c r="J20" s="11">
        <v>7830.9</v>
      </c>
      <c r="K20" s="11">
        <v>11297.22</v>
      </c>
      <c r="L20" s="11">
        <v>1225.33</v>
      </c>
      <c r="M20" s="12"/>
      <c r="N20" s="11">
        <v>2363.88</v>
      </c>
      <c r="O20" s="11">
        <v>3850.92</v>
      </c>
      <c r="P20" s="11">
        <v>5501.32</v>
      </c>
      <c r="Q20" s="11">
        <v>3308.63</v>
      </c>
      <c r="R20" s="10">
        <v>47594.2</v>
      </c>
    </row>
    <row r="21" spans="1:18" ht="15" thickBot="1">
      <c r="A21" s="5" t="s">
        <v>22</v>
      </c>
      <c r="B21" s="5" t="s">
        <v>6</v>
      </c>
      <c r="C21" s="5" t="s">
        <v>23</v>
      </c>
      <c r="D21" s="5" t="s">
        <v>52</v>
      </c>
      <c r="E21" s="5" t="s">
        <v>53</v>
      </c>
      <c r="F21" s="9">
        <v>200.44</v>
      </c>
      <c r="G21" s="9">
        <v>6067.28</v>
      </c>
      <c r="H21" s="9">
        <v>12568.46</v>
      </c>
      <c r="I21" s="9">
        <v>16216.48</v>
      </c>
      <c r="J21" s="9">
        <v>1631.44</v>
      </c>
      <c r="K21" s="8"/>
      <c r="L21" s="9">
        <v>57760.32</v>
      </c>
      <c r="M21" s="9">
        <v>35980.85</v>
      </c>
      <c r="N21" s="9">
        <v>1012.28</v>
      </c>
      <c r="O21" s="9">
        <v>78.58</v>
      </c>
      <c r="P21" s="9">
        <v>1308.3900000000001</v>
      </c>
      <c r="Q21" s="9">
        <v>79069.17</v>
      </c>
      <c r="R21" s="10">
        <v>211893.69</v>
      </c>
    </row>
    <row r="22" spans="1:18" ht="15" thickBot="1">
      <c r="A22" s="5" t="s">
        <v>22</v>
      </c>
      <c r="B22" s="5" t="s">
        <v>6</v>
      </c>
      <c r="C22" s="5" t="s">
        <v>23</v>
      </c>
      <c r="D22" s="5" t="s">
        <v>54</v>
      </c>
      <c r="E22" s="5" t="s">
        <v>55</v>
      </c>
      <c r="F22" s="11">
        <v>2496</v>
      </c>
      <c r="G22" s="11">
        <v>3589.75</v>
      </c>
      <c r="H22" s="12"/>
      <c r="I22" s="11">
        <v>1542.53</v>
      </c>
      <c r="J22" s="11">
        <v>4627.59</v>
      </c>
      <c r="K22" s="11">
        <v>1542.53</v>
      </c>
      <c r="L22" s="11">
        <v>11997.44</v>
      </c>
      <c r="M22" s="11">
        <v>4627.6000000000004</v>
      </c>
      <c r="N22" s="12"/>
      <c r="O22" s="11">
        <v>925.52</v>
      </c>
      <c r="P22" s="11">
        <v>6478.64</v>
      </c>
      <c r="Q22" s="12"/>
      <c r="R22" s="10">
        <v>37827.599999999999</v>
      </c>
    </row>
    <row r="23" spans="1:18" ht="15" thickBot="1">
      <c r="A23" s="5" t="s">
        <v>22</v>
      </c>
      <c r="B23" s="5" t="s">
        <v>6</v>
      </c>
      <c r="C23" s="5" t="s">
        <v>23</v>
      </c>
      <c r="D23" s="5" t="s">
        <v>56</v>
      </c>
      <c r="E23" s="5" t="s">
        <v>57</v>
      </c>
      <c r="F23" s="8"/>
      <c r="G23" s="9">
        <v>1135.8</v>
      </c>
      <c r="H23" s="9">
        <v>1135.8</v>
      </c>
      <c r="I23" s="9">
        <v>1135.8</v>
      </c>
      <c r="J23" s="8"/>
      <c r="K23" s="9">
        <v>1226.7</v>
      </c>
      <c r="L23" s="9">
        <v>1226.7</v>
      </c>
      <c r="M23" s="9">
        <v>1226.7</v>
      </c>
      <c r="N23" s="9">
        <v>2453.4</v>
      </c>
      <c r="O23" s="9">
        <v>1276.2</v>
      </c>
      <c r="P23" s="9">
        <v>2552.4</v>
      </c>
      <c r="Q23" s="8"/>
      <c r="R23" s="10">
        <v>13369.5</v>
      </c>
    </row>
    <row r="24" spans="1:18" ht="15" thickBot="1">
      <c r="A24" s="5" t="s">
        <v>22</v>
      </c>
      <c r="B24" s="5" t="s">
        <v>6</v>
      </c>
      <c r="C24" s="5" t="s">
        <v>23</v>
      </c>
      <c r="D24" s="5" t="s">
        <v>58</v>
      </c>
      <c r="E24" s="5" t="s">
        <v>59</v>
      </c>
      <c r="F24" s="12"/>
      <c r="G24" s="11">
        <v>1628.72</v>
      </c>
      <c r="H24" s="11">
        <v>8564.6299999999992</v>
      </c>
      <c r="I24" s="11">
        <v>15351.57</v>
      </c>
      <c r="J24" s="11">
        <v>11845.54</v>
      </c>
      <c r="K24" s="11">
        <v>16548.599999999999</v>
      </c>
      <c r="L24" s="11">
        <v>1471.04</v>
      </c>
      <c r="M24" s="11">
        <v>5022.01</v>
      </c>
      <c r="N24" s="11">
        <v>11539.58</v>
      </c>
      <c r="O24" s="11">
        <v>20083.53</v>
      </c>
      <c r="P24" s="11">
        <v>8420.61</v>
      </c>
      <c r="Q24" s="11">
        <v>233.2</v>
      </c>
      <c r="R24" s="10">
        <v>100709.03</v>
      </c>
    </row>
    <row r="25" spans="1:18" ht="15" thickBot="1">
      <c r="A25" s="5" t="s">
        <v>22</v>
      </c>
      <c r="B25" s="5" t="s">
        <v>6</v>
      </c>
      <c r="C25" s="5" t="s">
        <v>23</v>
      </c>
      <c r="D25" s="5" t="s">
        <v>60</v>
      </c>
      <c r="E25" s="5" t="s">
        <v>61</v>
      </c>
      <c r="F25" s="8"/>
      <c r="G25" s="8"/>
      <c r="H25" s="8"/>
      <c r="I25" s="8"/>
      <c r="J25" s="8"/>
      <c r="K25" s="9">
        <v>17840.97</v>
      </c>
      <c r="L25" s="9">
        <v>4105.3100000000004</v>
      </c>
      <c r="M25" s="9">
        <v>44084.4</v>
      </c>
      <c r="N25" s="9">
        <v>149354.9</v>
      </c>
      <c r="O25" s="9">
        <v>162162.74</v>
      </c>
      <c r="P25" s="9">
        <v>24168</v>
      </c>
      <c r="Q25" s="9">
        <v>3498.32</v>
      </c>
      <c r="R25" s="10">
        <v>405214.64</v>
      </c>
    </row>
    <row r="26" spans="1:18" ht="15" thickBot="1">
      <c r="A26" s="5"/>
      <c r="B26" s="5"/>
      <c r="C26" s="5"/>
      <c r="D26" s="13" t="s">
        <v>62</v>
      </c>
      <c r="E26" s="27" t="s">
        <v>63</v>
      </c>
      <c r="F26" s="11"/>
      <c r="G26" s="11"/>
      <c r="H26" s="11"/>
      <c r="I26" s="11"/>
      <c r="J26" s="11"/>
      <c r="K26" s="11"/>
      <c r="L26" s="11"/>
      <c r="M26" s="11">
        <v>32028.9</v>
      </c>
      <c r="N26" s="9">
        <v>0</v>
      </c>
      <c r="O26" s="9">
        <v>0</v>
      </c>
      <c r="P26" s="9">
        <v>4627.6000000000004</v>
      </c>
      <c r="Q26" s="9">
        <v>0</v>
      </c>
      <c r="R26" s="10"/>
    </row>
    <row r="27" spans="1:18" ht="15" thickBot="1">
      <c r="A27" s="5"/>
      <c r="B27" s="5"/>
      <c r="C27" s="5"/>
      <c r="D27" s="13" t="s">
        <v>64</v>
      </c>
      <c r="E27" s="27" t="s">
        <v>63</v>
      </c>
      <c r="F27" s="11"/>
      <c r="G27" s="11"/>
      <c r="H27" s="11"/>
      <c r="I27" s="11"/>
      <c r="J27" s="11"/>
      <c r="K27" s="11"/>
      <c r="L27" s="11"/>
      <c r="M27" s="11">
        <v>26540.480000000003</v>
      </c>
      <c r="N27" s="9">
        <v>1248</v>
      </c>
      <c r="O27" s="9">
        <v>8325.0499999999993</v>
      </c>
      <c r="P27" s="9">
        <v>0</v>
      </c>
      <c r="Q27" s="9">
        <v>0</v>
      </c>
      <c r="R27" s="10"/>
    </row>
    <row r="28" spans="1:18" ht="15" thickBot="1">
      <c r="A28" s="5" t="s">
        <v>22</v>
      </c>
      <c r="B28" s="5" t="s">
        <v>6</v>
      </c>
      <c r="C28" s="5" t="s">
        <v>23</v>
      </c>
      <c r="D28" s="25" t="s">
        <v>16</v>
      </c>
      <c r="E28" s="26"/>
      <c r="F28" s="10">
        <f>SUM(F7:F27)</f>
        <v>162656.97999999998</v>
      </c>
      <c r="G28" s="10">
        <f t="shared" ref="G28:Q28" si="0">SUM(G7:G27)</f>
        <v>113773.53</v>
      </c>
      <c r="H28" s="10">
        <f t="shared" si="0"/>
        <v>172216.02999999997</v>
      </c>
      <c r="I28" s="10">
        <f t="shared" si="0"/>
        <v>241100.38</v>
      </c>
      <c r="J28" s="10">
        <f t="shared" si="0"/>
        <v>152262.81</v>
      </c>
      <c r="K28" s="10">
        <f t="shared" si="0"/>
        <v>195103.91</v>
      </c>
      <c r="L28" s="10">
        <f t="shared" si="0"/>
        <v>207300.02000000002</v>
      </c>
      <c r="M28" s="10">
        <f t="shared" si="0"/>
        <v>212051.27</v>
      </c>
      <c r="N28" s="10">
        <f t="shared" si="0"/>
        <v>253029.59999999998</v>
      </c>
      <c r="O28" s="10">
        <f t="shared" si="0"/>
        <v>332540.36</v>
      </c>
      <c r="P28" s="10">
        <f t="shared" si="0"/>
        <v>301982.95</v>
      </c>
      <c r="Q28" s="10">
        <f t="shared" si="0"/>
        <v>219226.66000000003</v>
      </c>
      <c r="R28" s="10">
        <f>SUM(F28:Q28)</f>
        <v>2563244.5000000005</v>
      </c>
    </row>
  </sheetData>
  <mergeCells count="3">
    <mergeCell ref="A3:D5"/>
    <mergeCell ref="B6:C6"/>
    <mergeCell ref="D28:E28"/>
  </mergeCells>
  <pageMargins left="0.75" right="0.75" top="1" bottom="1" header="0.5" footer="0.5"/>
  <headerFooter>
    <oddFooter>&amp;C_x000D_&amp;1#&amp;"Calibri"&amp;10&amp;K000000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ZANALYSIS_PATTERN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Salkeld, Corrina</cp:lastModifiedBy>
  <dcterms:created xsi:type="dcterms:W3CDTF">2026-01-02T15:12:05Z</dcterms:created>
  <dcterms:modified xsi:type="dcterms:W3CDTF">2026-01-05T13:04:16Z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160f33-c33b-4e10-8636-cf83f9ca7d3c_Enabled">
    <vt:lpwstr>true</vt:lpwstr>
  </property>
  <property fmtid="{D5CDD505-2E9C-101B-9397-08002B2CF9AE}" pid="3" name="MSIP_Label_6b160f33-c33b-4e10-8636-cf83f9ca7d3c_SetDate">
    <vt:lpwstr>2026-01-05T13:04:16Z</vt:lpwstr>
  </property>
  <property fmtid="{D5CDD505-2E9C-101B-9397-08002B2CF9AE}" pid="4" name="MSIP_Label_6b160f33-c33b-4e10-8636-cf83f9ca7d3c_Method">
    <vt:lpwstr>Standard</vt:lpwstr>
  </property>
  <property fmtid="{D5CDD505-2E9C-101B-9397-08002B2CF9AE}" pid="5" name="MSIP_Label_6b160f33-c33b-4e10-8636-cf83f9ca7d3c_Name">
    <vt:lpwstr>Internal</vt:lpwstr>
  </property>
  <property fmtid="{D5CDD505-2E9C-101B-9397-08002B2CF9AE}" pid="6" name="MSIP_Label_6b160f33-c33b-4e10-8636-cf83f9ca7d3c_SiteId">
    <vt:lpwstr>e211c965-dd84-4c9f-bc3f-4215552a0857</vt:lpwstr>
  </property>
  <property fmtid="{D5CDD505-2E9C-101B-9397-08002B2CF9AE}" pid="7" name="MSIP_Label_6b160f33-c33b-4e10-8636-cf83f9ca7d3c_ActionId">
    <vt:lpwstr>c3c77743-569e-415b-8a60-39a20892327b</vt:lpwstr>
  </property>
  <property fmtid="{D5CDD505-2E9C-101B-9397-08002B2CF9AE}" pid="8" name="MSIP_Label_6b160f33-c33b-4e10-8636-cf83f9ca7d3c_ContentBits">
    <vt:lpwstr>2</vt:lpwstr>
  </property>
</Properties>
</file>